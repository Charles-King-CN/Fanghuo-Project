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项目预期进度表" sheetId="1" r:id="rId1"/>
    <sheet name="硬件实施" sheetId="2" r:id="rId2"/>
    <sheet name="培训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<sst xmlns="http://schemas.openxmlformats.org/spreadsheetml/2006/main" count="342" uniqueCount="238">
  <si>
    <t>序号</t>
  </si>
  <si>
    <t>阶段</t>
  </si>
  <si>
    <t>子任务</t>
  </si>
  <si>
    <t>预计完成时间</t>
  </si>
  <si>
    <t>开始日期</t>
  </si>
  <si>
    <t>结束日期</t>
  </si>
  <si>
    <t>持续天数</t>
  </si>
  <si>
    <t>任务信息</t>
  </si>
  <si>
    <t>责任方</t>
  </si>
  <si>
    <t>依赖项</t>
  </si>
  <si>
    <t>备注</t>
  </si>
  <si>
    <t>一、硬件研发与准备阶段</t>
  </si>
  <si>
    <t>硬件研发</t>
  </si>
  <si>
    <t>主板初步定型确认</t>
  </si>
  <si>
    <t>已完成</t>
  </si>
  <si>
    <t>硬件团队</t>
  </si>
  <si>
    <t>无</t>
  </si>
  <si>
    <t>当前主板已初步定型，进行最终确认和文档整理。</t>
  </si>
  <si>
    <t>外壳打样设计与制作</t>
  </si>
  <si>
    <t>硬件团队/外包供应商</t>
  </si>
  <si>
    <t>主板定型</t>
  </si>
  <si>
    <t>设计外壳以适应地市级和县级用传设备（高配/低配），包括防水、防尘要求。</t>
  </si>
  <si>
    <t>设备组装原型</t>
  </si>
  <si>
    <t>主板、外壳到货后开始</t>
  </si>
  <si>
    <t>外壳打样</t>
  </si>
  <si>
    <t>组装5-10个原型设备，用于后续测试。</t>
  </si>
  <si>
    <t>设备内部测试（功能、稳定性）</t>
  </si>
  <si>
    <t>已开始</t>
  </si>
  <si>
    <t>测试团队</t>
  </si>
  <si>
    <t>设备组装</t>
  </si>
  <si>
    <t>测试RS485/RS232接口、通信协议（MQTT/TCP/Modbus）、防拆报警等功能。</t>
  </si>
  <si>
    <t>协议对接与兼容性测试</t>
  </si>
  <si>
    <t>硬件透传（对方主机通讯模式需现场与用传对接，思迪配置工具查看）</t>
  </si>
  <si>
    <t>软件团队</t>
  </si>
  <si>
    <t>内部测试</t>
  </si>
  <si>
    <t>与平台协议对接，支持海湾、宏泰、时刻、英安特等消防主机兼容。</t>
  </si>
  <si>
    <t>最终硬件验证与优化</t>
  </si>
  <si>
    <t>硬件/软件团队</t>
  </si>
  <si>
    <t>协议对接</t>
  </si>
  <si>
    <t>修复测试中发现的问题，确保9月底整体计划完成（实际调整至10月底）。</t>
  </si>
  <si>
    <t>硬件采购</t>
  </si>
  <si>
    <t>采购需求清单确认（用传设备、Lora网关、电气火灾探测器等）</t>
  </si>
  <si>
    <t>主机76台（根据附件2，实际可对接 20台左右主机，半月交付）</t>
  </si>
  <si>
    <t>采购团队/甲方</t>
  </si>
  <si>
    <t>硬件研发完成</t>
  </si>
  <si>
    <t>针对2-3个地市（例如贵阳、遵义、安顺），计算设备数量：地市处理中心9套高配用传、县级76套低配部分采购。</t>
  </si>
  <si>
    <t>供应商选型与招标</t>
  </si>
  <si>
    <t>外采设备YA-GTW3300型，9台，方案已可用，根据合同约定采购主机，水泵远程网络控制箱*18台</t>
  </si>
  <si>
    <t>采购团队</t>
  </si>
  <si>
    <t>清单确认</t>
  </si>
  <si>
    <t>选择符合质量技术标准（如工作电压AC220V、接口USB/HDMI等）的供应商。</t>
  </si>
  <si>
    <t>合同签订与下单</t>
  </si>
  <si>
    <t>供应商选型</t>
  </si>
  <si>
    <t>签订采购合同，预付部分款项。</t>
  </si>
  <si>
    <t>货物到货与验收</t>
  </si>
  <si>
    <t>到货周期2周内（湘邮采购的液位液压需提前一周联系湘邮发货到位）</t>
  </si>
  <si>
    <t>仓储团队</t>
  </si>
  <si>
    <t>合同签订</t>
  </si>
  <si>
    <t>检查设备规格（如CPU四核、内存8G DDR3L）、数量，确保无损坏。</t>
  </si>
  <si>
    <t>二、软件部署</t>
  </si>
  <si>
    <t>服务器部署</t>
  </si>
  <si>
    <t>服务器环境确认（2-3天）</t>
  </si>
  <si>
    <t>15天内，环境搭建+省级平台+设备调试</t>
  </si>
  <si>
    <t>IT团队</t>
  </si>
  <si>
    <t>硬件采购完成</t>
  </si>
  <si>
    <t>采购MySQL数据库服务器，支持亿级存储、10万+并发。</t>
  </si>
  <si>
    <t>系统架构搭建（B/S架构、Spring框架）3-5天</t>
  </si>
  <si>
    <t>开发团队</t>
  </si>
  <si>
    <t>服务器到货</t>
  </si>
  <si>
    <t>部署在邮政综合网，支持Chrome/Firefox浏览器、Windows/Linux OS。</t>
  </si>
  <si>
    <t>数据库配置与安全设置</t>
  </si>
  <si>
    <t>DBA团队</t>
  </si>
  <si>
    <t>架构搭建</t>
  </si>
  <si>
    <t>配置MySQL，设置权限管理、防病毒机制，支持TCP/MQTT/HTTP/RTSP协议。</t>
  </si>
  <si>
    <t>平台软件安装与初始配置</t>
  </si>
  <si>
    <t>数据库配置</t>
  </si>
  <si>
    <t>安装综合管理平台、物联网子系统、安全管理子系统等模块。</t>
  </si>
  <si>
    <t>防火墙部署（邮政综合网与安防网间）</t>
  </si>
  <si>
    <t>网络团队</t>
  </si>
  <si>
    <t>平台安装</t>
  </si>
  <si>
    <t>实现省邮政范围内原系统与新设备接入，确保数据对接正常。</t>
  </si>
  <si>
    <t>系统性能测试（响应时间&lt;2秒、承载100万用户）</t>
  </si>
  <si>
    <t>15天内，设备调试</t>
  </si>
  <si>
    <t>防火墙部署</t>
  </si>
  <si>
    <t>模拟负载测试，优化数据处理速度。</t>
  </si>
  <si>
    <t>三、软硬联调</t>
  </si>
  <si>
    <t>硬件安装准备</t>
  </si>
  <si>
    <t>现场勘察（2-3个地市：贵阳、遵义、安顺）</t>
  </si>
  <si>
    <t>现场团队/甲方</t>
  </si>
  <si>
    <t>硬件采购启动</t>
  </si>
  <si>
    <t>确认安装位置、水泵/风机控制箱位置、消防主机接入点。</t>
  </si>
  <si>
    <t>安装工具与材料准备</t>
  </si>
  <si>
    <t>物流团队</t>
  </si>
  <si>
    <t>现场勘察</t>
  </si>
  <si>
    <t>准备巡检标签（IP67防护）、Lora网关等材料。</t>
  </si>
  <si>
    <t>四、培训</t>
  </si>
  <si>
    <t>培训</t>
  </si>
  <si>
    <t>施工人员培训：设备安装与平台对接</t>
  </si>
  <si>
    <t>培训团队</t>
  </si>
  <si>
    <t>硬件到货</t>
  </si>
  <si>
    <t>培训内容：用传设备连接（RS485/RS232）、Lora网关配置、协议对接操作。</t>
  </si>
  <si>
    <t>甲方客户培训：平台使用基础</t>
  </si>
  <si>
    <t>施工培训完成</t>
  </si>
  <si>
    <t>线下培训：单位信息管理、火灾风险评价、可视化大屏等模块操作。</t>
  </si>
  <si>
    <t>五、硬件实施</t>
  </si>
  <si>
    <t>硬件安装</t>
  </si>
  <si>
    <t>省平台硬件、服务器部署安装（服务器、防火墙）</t>
  </si>
  <si>
    <t>安装团队</t>
  </si>
  <si>
    <t>服务器部署完成</t>
  </si>
  <si>
    <t>在甲方指定环境中安装，确保与邮政集团安全保卫系统对接准备。</t>
  </si>
  <si>
    <t>地市1（贵阳）处理中心安装（1个中心局、4个县处理中心，91个营业点）</t>
  </si>
  <si>
    <t>预计10月中旬，4人2组的团队连续工作50天,11月22日开始</t>
  </si>
  <si>
    <t>硬件到货/培训完成</t>
  </si>
  <si>
    <t>安装用传高配、Lora网关3套、电气探测器等，接入消防主机。</t>
  </si>
  <si>
    <t>地市1（贵阳）县级处理中心安装（选2-3个县级）</t>
  </si>
  <si>
    <t>地市安装</t>
  </si>
  <si>
    <t>安装低配用传、Lora网关1套、烟感20个等。</t>
  </si>
  <si>
    <t>地市2（遵义）处理中心安装</t>
  </si>
  <si>
    <t>安装团队（并行组）</t>
  </si>
  <si>
    <t>并行安装用传高配、水泵控制箱2套等。</t>
  </si>
  <si>
    <t>地市2（遵义）县级处理中心安装（选2-3个县级）</t>
  </si>
  <si>
    <t>安装电气探测器、巡检标签等。</t>
  </si>
  <si>
    <t>地市3（安顺）处理中心安装（可选，若时间允许）</t>
  </si>
  <si>
    <t>若进度提前，完成第三地市；否则调整为2地市。</t>
  </si>
  <si>
    <t>地市3（安顺）县级处理中心安装（选2-3个县级）</t>
  </si>
  <si>
    <t>安装声光警报器、手动报警按钮等。</t>
  </si>
  <si>
    <t>六、标点与平台配置</t>
  </si>
  <si>
    <t>系统集成与调试</t>
  </si>
  <si>
    <t>摄像头接入与视频联动配置</t>
  </si>
  <si>
    <t>集成团队</t>
  </si>
  <si>
    <t>绑定感烟探测器与摄像头，实现火警视频联动。</t>
  </si>
  <si>
    <t>CRT点位图标注与BIM立体展示</t>
  </si>
  <si>
    <t>摄像头接入</t>
  </si>
  <si>
    <t>在平台上标注消防设施位置、疏散线路。</t>
  </si>
  <si>
    <t>系统整体调试与对接测试</t>
  </si>
  <si>
    <t>集成完成</t>
  </si>
  <si>
    <t>测试消防用水监测、电气火灾监测等子系统互联。</t>
  </si>
  <si>
    <t>验收与运维准备</t>
  </si>
  <si>
    <t>初验准备与测试</t>
  </si>
  <si>
    <t>/甲方联合</t>
  </si>
  <si>
    <t>调试完成</t>
  </si>
  <si>
    <t>模拟火警、故障场景测试。</t>
  </si>
  <si>
    <t>甲方客户高级培训：平台运维</t>
  </si>
  <si>
    <t>初验准备</t>
  </si>
  <si>
    <t>培训人员账号管理、统计报表等高级功能。</t>
  </si>
  <si>
    <t>系统初验</t>
  </si>
  <si>
    <t>甲方验收团队</t>
  </si>
  <si>
    <t>签署初验证书，确认2-3地市部署完成。</t>
  </si>
  <si>
    <t>运维</t>
  </si>
  <si>
    <t>运维团队组建与移交</t>
  </si>
  <si>
    <t>运维团队</t>
  </si>
  <si>
    <t>验收完成</t>
  </si>
  <si>
    <t>提供运维手册，建立7x24监控机制。</t>
  </si>
  <si>
    <t>试运行监控与问题响应</t>
  </si>
  <si>
    <t>移交完成</t>
  </si>
  <si>
    <t>初始运维支持，确保系统稳定（后续延伸至年底后，但表格限2025年底）。</t>
  </si>
  <si>
    <t>地市</t>
  </si>
  <si>
    <t>网点类型</t>
  </si>
  <si>
    <t>工时（人日）</t>
  </si>
  <si>
    <t>数量</t>
  </si>
  <si>
    <t>合计工时</t>
  </si>
  <si>
    <t>物联部工期（4人）</t>
  </si>
  <si>
    <t>倒排工期（12人)</t>
  </si>
  <si>
    <t>项目计划</t>
  </si>
  <si>
    <t>时间（天）</t>
  </si>
  <si>
    <t>贵阳</t>
  </si>
  <si>
    <t>市级处理中心</t>
  </si>
  <si>
    <t>一期项目建设（省级平台）</t>
  </si>
  <si>
    <t>县级处理中心</t>
  </si>
  <si>
    <t>项目准备、项目设备采购平台建设</t>
  </si>
  <si>
    <t>营业网点</t>
  </si>
  <si>
    <t>平台部署与调试</t>
  </si>
  <si>
    <t>合计</t>
  </si>
  <si>
    <t>实际工期需考虑周末等情况</t>
  </si>
  <si>
    <t>一期设备安装及接入</t>
  </si>
  <si>
    <t>贵阳邮件处理中心+1营业网点（与1.2同步）</t>
  </si>
  <si>
    <t>遵义</t>
  </si>
  <si>
    <t>地州市建设</t>
  </si>
  <si>
    <t>8个</t>
  </si>
  <si>
    <t>2.1.1</t>
  </si>
  <si>
    <t>基础数据收集及现场查勘</t>
  </si>
  <si>
    <t>2.1.2</t>
  </si>
  <si>
    <t>县级处理中心设备安装及接入</t>
  </si>
  <si>
    <t>共计8个，4个组同时实施</t>
  </si>
  <si>
    <t>安顺</t>
  </si>
  <si>
    <t>2.1.3</t>
  </si>
  <si>
    <t>金融网点设备安装及接入</t>
  </si>
  <si>
    <t>共计91个，4个组同时实施</t>
  </si>
  <si>
    <t>2.2.1</t>
  </si>
  <si>
    <t>2.2.2</t>
  </si>
  <si>
    <t>市级处理中心设备安装及接入</t>
  </si>
  <si>
    <t>2.2.3</t>
  </si>
  <si>
    <t>共计12个，4个组同时实施</t>
  </si>
  <si>
    <t>预估条件：</t>
  </si>
  <si>
    <t>2.2.4</t>
  </si>
  <si>
    <t>共计178个，4个组同时实施</t>
  </si>
  <si>
    <t>现场勘察与规划0.5天</t>
  </si>
  <si>
    <t>网络布线0.5天</t>
  </si>
  <si>
    <t>2.3.1</t>
  </si>
  <si>
    <t>安装调试1天</t>
  </si>
  <si>
    <t>2.3.2</t>
  </si>
  <si>
    <t>施工条件获取（不影响业务情况下,可能下班安装）</t>
  </si>
  <si>
    <t>共计5个，4个组同时实施</t>
  </si>
  <si>
    <t>2.3.3</t>
  </si>
  <si>
    <t>共计58个，4个组同时实施</t>
  </si>
  <si>
    <t>黔南</t>
  </si>
  <si>
    <t>2.4.1</t>
  </si>
  <si>
    <t>2.4.2</t>
  </si>
  <si>
    <t>共计11个，4个组同时实施</t>
  </si>
  <si>
    <t>2.4.3</t>
  </si>
  <si>
    <t>共计109个，4个组同时实施</t>
  </si>
  <si>
    <t>黔东南</t>
  </si>
  <si>
    <t>2.5.1</t>
  </si>
  <si>
    <t>2.5.2</t>
  </si>
  <si>
    <t>共计15个，4个组同时实施</t>
  </si>
  <si>
    <t>2.5.3</t>
  </si>
  <si>
    <t>共计95个，4个组同时实施</t>
  </si>
  <si>
    <t>铜仁</t>
  </si>
  <si>
    <t>2.6.1</t>
  </si>
  <si>
    <t>2.6.2</t>
  </si>
  <si>
    <t>2.6.3</t>
  </si>
  <si>
    <t>共计97个，4个组同时实施</t>
  </si>
  <si>
    <t>毕节</t>
  </si>
  <si>
    <t>2.7.1</t>
  </si>
  <si>
    <t>2.7.2</t>
  </si>
  <si>
    <t>共计7个，4个组同时实施</t>
  </si>
  <si>
    <t>2.7.3</t>
  </si>
  <si>
    <t>六盘水</t>
  </si>
  <si>
    <t>2.8.1</t>
  </si>
  <si>
    <t>2.8.2</t>
  </si>
  <si>
    <t>共计3个，4个组同时实施</t>
  </si>
  <si>
    <t>2.8.3</t>
  </si>
  <si>
    <t>共计45个，4个组同时实施</t>
  </si>
  <si>
    <t>黔西南</t>
  </si>
  <si>
    <t>2.9.1</t>
  </si>
  <si>
    <t>2.9.2</t>
  </si>
  <si>
    <t>2.9.3</t>
  </si>
  <si>
    <t>共计63个，4个组同时实施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</si>
</sst>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[$-409]yyyy\-mm\-dd;@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theme="1"/>
      <name val="仿宋"/>
      <charset val="134"/>
    </font>
    <font>
      <b/>
      <sz val="12"/>
      <color theme="1"/>
      <name val="仿宋"/>
      <charset val="134"/>
    </font>
    <font>
      <b/>
      <sz val="12"/>
      <color rgb="FF000000"/>
      <name val="仿宋"/>
      <charset val="134"/>
    </font>
    <font>
      <sz val="10.5"/>
      <color rgb="FF000000"/>
      <name val="仿宋"/>
      <charset val="134"/>
    </font>
    <font>
      <b/>
      <sz val="10.5"/>
      <color theme="1"/>
      <name val="仿宋"/>
      <charset val="134"/>
    </font>
    <font>
      <b/>
      <sz val="10.5"/>
      <color rgb="FF000000"/>
      <name val="仿宋"/>
      <charset val="134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D4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justify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justify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0" fontId="0" fillId="0" borderId="10" xfId="0" applyBorder="1">
      <alignment vertical="center"/>
    </xf>
    <xf numFmtId="0" fontId="0" fillId="0" borderId="0" xfId="0" applyFill="1">
      <alignment vertical="center"/>
    </xf>
    <xf numFmtId="0" fontId="8" fillId="0" borderId="1" xfId="0" applyFont="1" applyFill="1" applyBorder="1" applyAlignment="1">
      <alignment horizontal="center" vertical="top"/>
    </xf>
    <xf numFmtId="0" fontId="9" fillId="0" borderId="1" xfId="0" applyFont="1" applyBorder="1">
      <alignment vertical="center"/>
    </xf>
    <xf numFmtId="177" fontId="0" fillId="0" borderId="0" xfId="0" applyNumberFormat="1">
      <alignment vertical="center"/>
    </xf>
    <xf numFmtId="14" fontId="0" fillId="0" borderId="0" xfId="0" applyNumberFormat="1" applyFill="1">
      <alignment vertical="center"/>
    </xf>
    <xf numFmtId="0" fontId="0" fillId="3" borderId="0" xfId="0" applyFill="1">
      <alignment vertical="center"/>
    </xf>
    <xf numFmtId="14" fontId="0" fillId="0" borderId="0" xfId="0" applyNumberFormat="1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zoomScaleSheetLayoutView="60" topLeftCell="B1" workbookViewId="0">
      <selection activeCell="B1" sqref="B1"/>
    </sheetView>
  </sheetViews>
  <sheetFormatPr defaultColWidth="9.55752212389381" defaultRowHeight="13.5"/>
  <cols>
    <col min="1" max="1" width="5.38938053097345" customWidth="1"/>
    <col min="2" max="2" width="26.6194690265487" customWidth="1"/>
    <col min="3" max="3" width="15.6283185840708" customWidth="1"/>
    <col min="4" max="4" width="70.7787610619469" customWidth="1"/>
    <col min="5" max="5" width="13.4336283185841" style="33" customWidth="1"/>
    <col min="6" max="7" width="11.7256637168142" customWidth="1"/>
    <col min="8" max="8" width="9.24778761061947" customWidth="1"/>
    <col min="9" max="9" width="91.6106194690265" style="33" customWidth="1"/>
    <col min="10" max="10" width="21.0884955752212" customWidth="1"/>
    <col min="11" max="11" width="18.8938053097345" customWidth="1"/>
    <col min="12" max="12" width="108.557522123894" customWidth="1"/>
  </cols>
  <sheetData>
    <row r="1" spans="1:12">
      <c r="A1" t="s">
        <v>0</v>
      </c>
      <c r="B1" s="34" t="s">
        <v>1</v>
      </c>
      <c r="C1" t="s">
        <v>1</v>
      </c>
      <c r="D1" t="s">
        <v>2</v>
      </c>
      <c r="E1" s="33" t="s">
        <v>3</v>
      </c>
      <c r="F1" t="s">
        <v>4</v>
      </c>
      <c r="G1" t="s">
        <v>5</v>
      </c>
      <c r="H1" t="s">
        <v>6</v>
      </c>
      <c r="I1" s="33" t="s">
        <v>7</v>
      </c>
      <c r="J1" t="s">
        <v>8</v>
      </c>
      <c r="K1" t="s">
        <v>9</v>
      </c>
      <c r="L1" t="s">
        <v>10</v>
      </c>
    </row>
    <row r="2" ht="15.75" spans="2:2">
      <c r="B2" s="35" t="s">
        <v>11</v>
      </c>
    </row>
    <row r="3" spans="1:12">
      <c r="A3">
        <v>1</v>
      </c>
      <c r="C3" t="s">
        <v>12</v>
      </c>
      <c r="D3" t="s">
        <v>13</v>
      </c>
      <c r="F3" s="36">
        <v>45912</v>
      </c>
      <c r="G3" s="36">
        <v>45915</v>
      </c>
      <c r="H3">
        <v>3</v>
      </c>
      <c r="I3" s="33" t="s">
        <v>14</v>
      </c>
      <c r="J3" t="s">
        <v>15</v>
      </c>
      <c r="K3" t="s">
        <v>16</v>
      </c>
      <c r="L3" t="s">
        <v>17</v>
      </c>
    </row>
    <row r="4" spans="1:12">
      <c r="A4">
        <v>2</v>
      </c>
      <c r="C4" t="s">
        <v>12</v>
      </c>
      <c r="D4" t="s">
        <v>18</v>
      </c>
      <c r="F4" s="36">
        <v>45916</v>
      </c>
      <c r="G4" s="36">
        <v>45925</v>
      </c>
      <c r="H4">
        <v>9</v>
      </c>
      <c r="I4" s="33" t="s">
        <v>14</v>
      </c>
      <c r="J4" t="s">
        <v>19</v>
      </c>
      <c r="K4" t="s">
        <v>20</v>
      </c>
      <c r="L4" t="s">
        <v>21</v>
      </c>
    </row>
    <row r="5" spans="1:12">
      <c r="A5">
        <v>3</v>
      </c>
      <c r="C5" t="s">
        <v>12</v>
      </c>
      <c r="D5" t="s">
        <v>22</v>
      </c>
      <c r="E5" s="37">
        <v>45925</v>
      </c>
      <c r="F5" s="36">
        <v>45926</v>
      </c>
      <c r="G5" s="36">
        <v>45930</v>
      </c>
      <c r="H5">
        <v>4</v>
      </c>
      <c r="I5" s="37" t="s">
        <v>23</v>
      </c>
      <c r="J5" t="s">
        <v>15</v>
      </c>
      <c r="K5" t="s">
        <v>24</v>
      </c>
      <c r="L5" t="s">
        <v>25</v>
      </c>
    </row>
    <row r="6" spans="1:12">
      <c r="A6">
        <v>4</v>
      </c>
      <c r="C6" t="s">
        <v>12</v>
      </c>
      <c r="D6" t="s">
        <v>26</v>
      </c>
      <c r="E6" s="37">
        <v>45930</v>
      </c>
      <c r="F6" s="36">
        <v>45915</v>
      </c>
      <c r="G6" s="36">
        <v>45930</v>
      </c>
      <c r="H6">
        <v>15</v>
      </c>
      <c r="I6" s="37" t="s">
        <v>27</v>
      </c>
      <c r="J6" t="s">
        <v>28</v>
      </c>
      <c r="K6" t="s">
        <v>29</v>
      </c>
      <c r="L6" t="s">
        <v>30</v>
      </c>
    </row>
    <row r="7" spans="1:12">
      <c r="A7">
        <v>5</v>
      </c>
      <c r="C7" t="s">
        <v>12</v>
      </c>
      <c r="D7" t="s">
        <v>31</v>
      </c>
      <c r="F7" s="36">
        <v>45941</v>
      </c>
      <c r="G7" s="36">
        <v>45950</v>
      </c>
      <c r="H7">
        <v>9</v>
      </c>
      <c r="I7" s="33" t="s">
        <v>32</v>
      </c>
      <c r="J7" t="s">
        <v>33</v>
      </c>
      <c r="K7" t="s">
        <v>34</v>
      </c>
      <c r="L7" t="s">
        <v>35</v>
      </c>
    </row>
    <row r="8" spans="1:12">
      <c r="A8">
        <v>6</v>
      </c>
      <c r="C8" t="s">
        <v>12</v>
      </c>
      <c r="D8" t="s">
        <v>36</v>
      </c>
      <c r="E8" s="37">
        <v>45945</v>
      </c>
      <c r="F8" s="36">
        <v>45930</v>
      </c>
      <c r="G8" s="36">
        <v>45945</v>
      </c>
      <c r="H8">
        <v>7</v>
      </c>
      <c r="I8" s="37"/>
      <c r="J8" t="s">
        <v>37</v>
      </c>
      <c r="K8" t="s">
        <v>38</v>
      </c>
      <c r="L8" t="s">
        <v>39</v>
      </c>
    </row>
    <row r="9" spans="1:12">
      <c r="A9">
        <v>7</v>
      </c>
      <c r="C9" t="s">
        <v>40</v>
      </c>
      <c r="D9" t="s">
        <v>41</v>
      </c>
      <c r="F9" s="36">
        <v>45956</v>
      </c>
      <c r="G9" s="36">
        <v>45960</v>
      </c>
      <c r="H9">
        <v>4</v>
      </c>
      <c r="I9" s="33" t="s">
        <v>42</v>
      </c>
      <c r="J9" t="s">
        <v>43</v>
      </c>
      <c r="K9" t="s">
        <v>44</v>
      </c>
      <c r="L9" t="s">
        <v>45</v>
      </c>
    </row>
    <row r="10" spans="1:12">
      <c r="A10">
        <v>8</v>
      </c>
      <c r="C10" t="s">
        <v>40</v>
      </c>
      <c r="D10" t="s">
        <v>46</v>
      </c>
      <c r="E10" s="37">
        <v>45960</v>
      </c>
      <c r="F10" s="36">
        <v>45945</v>
      </c>
      <c r="G10" s="36">
        <v>45960</v>
      </c>
      <c r="H10">
        <v>15</v>
      </c>
      <c r="I10" s="37" t="s">
        <v>47</v>
      </c>
      <c r="J10" t="s">
        <v>48</v>
      </c>
      <c r="K10" t="s">
        <v>49</v>
      </c>
      <c r="L10" t="s">
        <v>50</v>
      </c>
    </row>
    <row r="11" spans="1:12">
      <c r="A11">
        <v>9</v>
      </c>
      <c r="C11" t="s">
        <v>40</v>
      </c>
      <c r="D11" t="s">
        <v>51</v>
      </c>
      <c r="E11" s="37">
        <v>45955</v>
      </c>
      <c r="F11" s="36">
        <v>45938</v>
      </c>
      <c r="G11" s="36">
        <v>45955</v>
      </c>
      <c r="H11">
        <v>13</v>
      </c>
      <c r="I11" s="37"/>
      <c r="J11" t="s">
        <v>48</v>
      </c>
      <c r="K11" t="s">
        <v>52</v>
      </c>
      <c r="L11" t="s">
        <v>53</v>
      </c>
    </row>
    <row r="12" spans="1:12">
      <c r="A12">
        <v>10</v>
      </c>
      <c r="C12" t="s">
        <v>40</v>
      </c>
      <c r="D12" t="s">
        <v>54</v>
      </c>
      <c r="E12" s="37">
        <v>45960</v>
      </c>
      <c r="F12" s="36">
        <v>45945</v>
      </c>
      <c r="G12" s="36">
        <v>45960</v>
      </c>
      <c r="H12">
        <v>9</v>
      </c>
      <c r="I12" s="37" t="s">
        <v>55</v>
      </c>
      <c r="J12" t="s">
        <v>56</v>
      </c>
      <c r="K12" t="s">
        <v>57</v>
      </c>
      <c r="L12" t="s">
        <v>58</v>
      </c>
    </row>
    <row r="13" spans="1:12">
      <c r="A13">
        <v>11</v>
      </c>
      <c r="B13" t="s">
        <v>59</v>
      </c>
      <c r="C13" t="s">
        <v>60</v>
      </c>
      <c r="D13" s="38" t="s">
        <v>61</v>
      </c>
      <c r="E13" s="39">
        <v>45976</v>
      </c>
      <c r="F13" s="36">
        <v>45962</v>
      </c>
      <c r="G13" s="36">
        <v>45976</v>
      </c>
      <c r="H13">
        <v>4</v>
      </c>
      <c r="I13" s="40" t="s">
        <v>62</v>
      </c>
      <c r="J13" t="s">
        <v>63</v>
      </c>
      <c r="K13" t="s">
        <v>64</v>
      </c>
      <c r="L13" t="s">
        <v>65</v>
      </c>
    </row>
    <row r="14" spans="1:12">
      <c r="A14">
        <v>12</v>
      </c>
      <c r="C14" t="s">
        <v>60</v>
      </c>
      <c r="D14" s="38" t="s">
        <v>66</v>
      </c>
      <c r="E14" s="40"/>
      <c r="F14" s="36">
        <v>45987</v>
      </c>
      <c r="G14" s="36">
        <v>45996</v>
      </c>
      <c r="H14">
        <v>9</v>
      </c>
      <c r="I14" s="40"/>
      <c r="J14" t="s">
        <v>67</v>
      </c>
      <c r="K14" t="s">
        <v>68</v>
      </c>
      <c r="L14" t="s">
        <v>69</v>
      </c>
    </row>
    <row r="15" spans="1:12">
      <c r="A15">
        <v>13</v>
      </c>
      <c r="C15" t="s">
        <v>60</v>
      </c>
      <c r="D15" s="38" t="s">
        <v>70</v>
      </c>
      <c r="E15" s="40"/>
      <c r="F15" s="36">
        <v>45997</v>
      </c>
      <c r="G15" s="36">
        <v>46001</v>
      </c>
      <c r="H15">
        <v>4</v>
      </c>
      <c r="I15" s="40"/>
      <c r="J15" t="s">
        <v>71</v>
      </c>
      <c r="K15" t="s">
        <v>72</v>
      </c>
      <c r="L15" t="s">
        <v>73</v>
      </c>
    </row>
    <row r="16" spans="1:12">
      <c r="A16">
        <v>14</v>
      </c>
      <c r="C16" t="s">
        <v>60</v>
      </c>
      <c r="D16" s="38" t="s">
        <v>74</v>
      </c>
      <c r="E16" s="40"/>
      <c r="F16" s="36">
        <v>46002</v>
      </c>
      <c r="G16" s="36">
        <v>46006</v>
      </c>
      <c r="H16">
        <v>4</v>
      </c>
      <c r="I16" s="40"/>
      <c r="J16" t="s">
        <v>67</v>
      </c>
      <c r="K16" t="s">
        <v>75</v>
      </c>
      <c r="L16" t="s">
        <v>76</v>
      </c>
    </row>
    <row r="17" spans="1:12">
      <c r="A17">
        <v>15</v>
      </c>
      <c r="C17" t="s">
        <v>60</v>
      </c>
      <c r="D17" s="38" t="s">
        <v>77</v>
      </c>
      <c r="E17" s="40"/>
      <c r="F17" s="36">
        <v>46007</v>
      </c>
      <c r="G17" s="36">
        <v>46011</v>
      </c>
      <c r="H17">
        <v>4</v>
      </c>
      <c r="I17" s="40"/>
      <c r="J17" t="s">
        <v>78</v>
      </c>
      <c r="K17" t="s">
        <v>79</v>
      </c>
      <c r="L17" t="s">
        <v>80</v>
      </c>
    </row>
    <row r="18" spans="1:12">
      <c r="A18">
        <v>16</v>
      </c>
      <c r="C18" t="s">
        <v>60</v>
      </c>
      <c r="D18" s="38" t="s">
        <v>81</v>
      </c>
      <c r="E18" s="40"/>
      <c r="F18" s="36">
        <v>46012</v>
      </c>
      <c r="G18" s="36">
        <v>46016</v>
      </c>
      <c r="H18">
        <v>4</v>
      </c>
      <c r="I18" s="40" t="s">
        <v>82</v>
      </c>
      <c r="J18" t="s">
        <v>28</v>
      </c>
      <c r="K18" t="s">
        <v>83</v>
      </c>
      <c r="L18" t="s">
        <v>84</v>
      </c>
    </row>
    <row r="19" spans="1:12">
      <c r="A19">
        <v>17</v>
      </c>
      <c r="B19" t="s">
        <v>85</v>
      </c>
      <c r="C19" t="s">
        <v>86</v>
      </c>
      <c r="D19" t="s">
        <v>87</v>
      </c>
      <c r="F19" s="36">
        <v>45956</v>
      </c>
      <c r="G19" s="36">
        <v>45966</v>
      </c>
      <c r="H19">
        <v>10</v>
      </c>
      <c r="J19" t="s">
        <v>88</v>
      </c>
      <c r="K19" t="s">
        <v>89</v>
      </c>
      <c r="L19" t="s">
        <v>90</v>
      </c>
    </row>
    <row r="20" spans="1:12">
      <c r="A20">
        <v>18</v>
      </c>
      <c r="C20" t="s">
        <v>86</v>
      </c>
      <c r="D20" t="s">
        <v>91</v>
      </c>
      <c r="F20" s="36">
        <v>45967</v>
      </c>
      <c r="G20" s="36">
        <v>45971</v>
      </c>
      <c r="H20">
        <v>4</v>
      </c>
      <c r="J20" t="s">
        <v>92</v>
      </c>
      <c r="K20" t="s">
        <v>93</v>
      </c>
      <c r="L20" t="s">
        <v>94</v>
      </c>
    </row>
    <row r="21" spans="1:12">
      <c r="A21">
        <v>19</v>
      </c>
      <c r="B21" t="s">
        <v>95</v>
      </c>
      <c r="C21" t="s">
        <v>96</v>
      </c>
      <c r="D21" t="s">
        <v>97</v>
      </c>
      <c r="F21" s="36">
        <v>45972</v>
      </c>
      <c r="G21" s="36">
        <v>45976</v>
      </c>
      <c r="H21">
        <v>4</v>
      </c>
      <c r="J21" t="s">
        <v>98</v>
      </c>
      <c r="K21" t="s">
        <v>99</v>
      </c>
      <c r="L21" t="s">
        <v>100</v>
      </c>
    </row>
    <row r="22" spans="1:12">
      <c r="A22">
        <v>20</v>
      </c>
      <c r="C22" t="s">
        <v>96</v>
      </c>
      <c r="D22" t="s">
        <v>101</v>
      </c>
      <c r="F22" s="36">
        <v>45977</v>
      </c>
      <c r="G22" s="36">
        <v>45981</v>
      </c>
      <c r="H22">
        <v>4</v>
      </c>
      <c r="J22" t="s">
        <v>98</v>
      </c>
      <c r="K22" t="s">
        <v>102</v>
      </c>
      <c r="L22" t="s">
        <v>103</v>
      </c>
    </row>
    <row r="23" spans="1:12">
      <c r="A23">
        <v>21</v>
      </c>
      <c r="B23" t="s">
        <v>104</v>
      </c>
      <c r="C23" t="s">
        <v>105</v>
      </c>
      <c r="D23" t="s">
        <v>106</v>
      </c>
      <c r="F23" s="36">
        <v>46017</v>
      </c>
      <c r="G23" s="36">
        <v>46021</v>
      </c>
      <c r="H23">
        <v>4</v>
      </c>
      <c r="J23" t="s">
        <v>107</v>
      </c>
      <c r="K23" t="s">
        <v>108</v>
      </c>
      <c r="L23" t="s">
        <v>109</v>
      </c>
    </row>
    <row r="24" spans="1:12">
      <c r="A24">
        <v>22</v>
      </c>
      <c r="C24" t="s">
        <v>105</v>
      </c>
      <c r="D24" t="s">
        <v>110</v>
      </c>
      <c r="E24" s="37">
        <v>46003</v>
      </c>
      <c r="F24" s="36">
        <v>45982</v>
      </c>
      <c r="G24" s="36">
        <v>45991</v>
      </c>
      <c r="H24">
        <v>9</v>
      </c>
      <c r="I24" s="33" t="s">
        <v>111</v>
      </c>
      <c r="J24" t="s">
        <v>107</v>
      </c>
      <c r="K24" t="s">
        <v>112</v>
      </c>
      <c r="L24" t="s">
        <v>113</v>
      </c>
    </row>
    <row r="25" spans="1:12">
      <c r="A25">
        <v>23</v>
      </c>
      <c r="C25" t="s">
        <v>105</v>
      </c>
      <c r="D25" t="s">
        <v>114</v>
      </c>
      <c r="F25" s="36">
        <v>45992</v>
      </c>
      <c r="G25" s="36">
        <v>46001</v>
      </c>
      <c r="H25">
        <v>9</v>
      </c>
      <c r="J25" t="s">
        <v>107</v>
      </c>
      <c r="K25" t="s">
        <v>115</v>
      </c>
      <c r="L25" t="s">
        <v>116</v>
      </c>
    </row>
    <row r="26" spans="1:12">
      <c r="A26">
        <v>24</v>
      </c>
      <c r="C26" t="s">
        <v>105</v>
      </c>
      <c r="D26" t="s">
        <v>117</v>
      </c>
      <c r="F26" s="36">
        <v>45992</v>
      </c>
      <c r="G26" s="36">
        <v>46001</v>
      </c>
      <c r="H26">
        <v>9</v>
      </c>
      <c r="J26" t="s">
        <v>118</v>
      </c>
      <c r="K26" t="s">
        <v>112</v>
      </c>
      <c r="L26" t="s">
        <v>119</v>
      </c>
    </row>
    <row r="27" spans="1:12">
      <c r="A27">
        <v>25</v>
      </c>
      <c r="C27" t="s">
        <v>105</v>
      </c>
      <c r="D27" t="s">
        <v>120</v>
      </c>
      <c r="F27" s="36">
        <v>46002</v>
      </c>
      <c r="G27" s="36">
        <v>46011</v>
      </c>
      <c r="H27">
        <v>9</v>
      </c>
      <c r="J27" t="s">
        <v>118</v>
      </c>
      <c r="K27" t="s">
        <v>115</v>
      </c>
      <c r="L27" t="s">
        <v>121</v>
      </c>
    </row>
    <row r="28" spans="1:12">
      <c r="A28">
        <v>26</v>
      </c>
      <c r="C28" t="s">
        <v>105</v>
      </c>
      <c r="D28" t="s">
        <v>122</v>
      </c>
      <c r="F28" s="36">
        <v>46002</v>
      </c>
      <c r="G28" s="36">
        <v>46011</v>
      </c>
      <c r="H28">
        <v>9</v>
      </c>
      <c r="J28" t="s">
        <v>107</v>
      </c>
      <c r="K28" t="s">
        <v>112</v>
      </c>
      <c r="L28" t="s">
        <v>123</v>
      </c>
    </row>
    <row r="29" spans="1:12">
      <c r="A29">
        <v>27</v>
      </c>
      <c r="C29" t="s">
        <v>105</v>
      </c>
      <c r="D29" t="s">
        <v>124</v>
      </c>
      <c r="F29" s="36">
        <v>46012</v>
      </c>
      <c r="G29" s="36">
        <v>46021</v>
      </c>
      <c r="H29">
        <v>9</v>
      </c>
      <c r="J29" t="s">
        <v>107</v>
      </c>
      <c r="K29" t="s">
        <v>115</v>
      </c>
      <c r="L29" t="s">
        <v>125</v>
      </c>
    </row>
    <row r="30" spans="1:12">
      <c r="A30">
        <v>28</v>
      </c>
      <c r="B30" t="s">
        <v>126</v>
      </c>
      <c r="C30" t="s">
        <v>127</v>
      </c>
      <c r="D30" s="38" t="s">
        <v>128</v>
      </c>
      <c r="E30" s="40"/>
      <c r="F30" s="36">
        <v>46012</v>
      </c>
      <c r="G30" s="36">
        <v>46016</v>
      </c>
      <c r="H30">
        <v>4</v>
      </c>
      <c r="I30" s="40"/>
      <c r="J30" t="s">
        <v>129</v>
      </c>
      <c r="K30" t="s">
        <v>105</v>
      </c>
      <c r="L30" t="s">
        <v>130</v>
      </c>
    </row>
    <row r="31" spans="1:12">
      <c r="A31">
        <v>29</v>
      </c>
      <c r="C31" t="s">
        <v>127</v>
      </c>
      <c r="D31" s="38" t="s">
        <v>131</v>
      </c>
      <c r="E31" s="40"/>
      <c r="F31" s="36">
        <v>46017</v>
      </c>
      <c r="G31" s="36">
        <v>46021</v>
      </c>
      <c r="H31">
        <v>4</v>
      </c>
      <c r="I31" s="40"/>
      <c r="J31" t="s">
        <v>67</v>
      </c>
      <c r="K31" t="s">
        <v>132</v>
      </c>
      <c r="L31" t="s">
        <v>133</v>
      </c>
    </row>
    <row r="32" spans="1:12">
      <c r="A32">
        <v>30</v>
      </c>
      <c r="C32" t="s">
        <v>127</v>
      </c>
      <c r="D32" s="38" t="s">
        <v>134</v>
      </c>
      <c r="E32" s="40"/>
      <c r="F32" s="36">
        <v>46017</v>
      </c>
      <c r="G32" s="36">
        <v>46021</v>
      </c>
      <c r="H32">
        <v>4</v>
      </c>
      <c r="I32" s="40"/>
      <c r="J32" t="s">
        <v>28</v>
      </c>
      <c r="K32" t="s">
        <v>135</v>
      </c>
      <c r="L32" t="s">
        <v>136</v>
      </c>
    </row>
    <row r="33" spans="1:12">
      <c r="A33">
        <v>31</v>
      </c>
      <c r="C33" t="s">
        <v>137</v>
      </c>
      <c r="D33" s="38" t="s">
        <v>138</v>
      </c>
      <c r="E33" s="40"/>
      <c r="F33" s="36">
        <v>46017</v>
      </c>
      <c r="G33" s="36">
        <v>46021</v>
      </c>
      <c r="H33">
        <v>4</v>
      </c>
      <c r="I33" s="40"/>
      <c r="J33" t="s">
        <v>139</v>
      </c>
      <c r="K33" t="s">
        <v>140</v>
      </c>
      <c r="L33" t="s">
        <v>141</v>
      </c>
    </row>
    <row r="34" spans="1:12">
      <c r="A34">
        <v>32</v>
      </c>
      <c r="C34" t="s">
        <v>137</v>
      </c>
      <c r="D34" s="38" t="s">
        <v>142</v>
      </c>
      <c r="E34" s="40"/>
      <c r="F34" s="36">
        <v>46017</v>
      </c>
      <c r="G34" s="36">
        <v>46021</v>
      </c>
      <c r="H34">
        <v>4</v>
      </c>
      <c r="I34" s="40"/>
      <c r="J34" t="s">
        <v>98</v>
      </c>
      <c r="K34" t="s">
        <v>143</v>
      </c>
      <c r="L34" t="s">
        <v>144</v>
      </c>
    </row>
    <row r="35" spans="1:12">
      <c r="A35">
        <v>33</v>
      </c>
      <c r="C35" t="s">
        <v>137</v>
      </c>
      <c r="D35" s="38" t="s">
        <v>145</v>
      </c>
      <c r="E35" s="40"/>
      <c r="F35" s="36">
        <v>46022</v>
      </c>
      <c r="G35" s="36">
        <v>46022</v>
      </c>
      <c r="H35">
        <v>1</v>
      </c>
      <c r="I35" s="40"/>
      <c r="J35" t="s">
        <v>146</v>
      </c>
      <c r="K35" t="s">
        <v>143</v>
      </c>
      <c r="L35" t="s">
        <v>147</v>
      </c>
    </row>
    <row r="36" spans="1:12">
      <c r="A36">
        <v>34</v>
      </c>
      <c r="C36" t="s">
        <v>148</v>
      </c>
      <c r="D36" s="38" t="s">
        <v>149</v>
      </c>
      <c r="E36" s="40"/>
      <c r="F36" s="36">
        <v>46017</v>
      </c>
      <c r="G36" s="36">
        <v>46021</v>
      </c>
      <c r="H36">
        <v>4</v>
      </c>
      <c r="I36" s="40"/>
      <c r="J36" t="s">
        <v>150</v>
      </c>
      <c r="K36" t="s">
        <v>151</v>
      </c>
      <c r="L36" t="s">
        <v>152</v>
      </c>
    </row>
    <row r="37" spans="1:12">
      <c r="A37">
        <v>35</v>
      </c>
      <c r="C37" t="s">
        <v>148</v>
      </c>
      <c r="D37" s="38" t="s">
        <v>153</v>
      </c>
      <c r="E37" s="40"/>
      <c r="F37" s="36">
        <v>46022</v>
      </c>
      <c r="G37" s="36">
        <v>46022</v>
      </c>
      <c r="H37">
        <v>1</v>
      </c>
      <c r="I37" s="40"/>
      <c r="J37" t="s">
        <v>150</v>
      </c>
      <c r="K37" t="s">
        <v>154</v>
      </c>
      <c r="L37" t="s">
        <v>155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C22" sqref="C22"/>
    </sheetView>
  </sheetViews>
  <sheetFormatPr defaultColWidth="9.02654867256637" defaultRowHeight="13.5"/>
  <cols>
    <col min="1" max="1" width="5.7787610619469" customWidth="1"/>
    <col min="2" max="3" width="14.8053097345133" customWidth="1"/>
    <col min="4" max="4" width="5.7787610619469" customWidth="1"/>
    <col min="5" max="5" width="10.0265486725664" customWidth="1"/>
    <col min="6" max="6" width="20.7079646017699" customWidth="1"/>
    <col min="7" max="7" width="18.3185840707965" customWidth="1"/>
    <col min="8" max="8" width="29.0088495575221" customWidth="1"/>
    <col min="11" max="11" width="5.24778761061947" customWidth="1"/>
    <col min="12" max="12" width="37.3716814159292" customWidth="1"/>
    <col min="13" max="13" width="6.17699115044248" customWidth="1"/>
    <col min="14" max="14" width="36.6371681415929" customWidth="1"/>
  </cols>
  <sheetData>
    <row r="1" ht="27" spans="1:14">
      <c r="A1" s="1" t="s">
        <v>156</v>
      </c>
      <c r="B1" s="1" t="s">
        <v>157</v>
      </c>
      <c r="C1" s="1" t="s">
        <v>158</v>
      </c>
      <c r="D1" s="1" t="s">
        <v>159</v>
      </c>
      <c r="E1" s="2" t="s">
        <v>160</v>
      </c>
      <c r="F1" s="3" t="s">
        <v>161</v>
      </c>
      <c r="G1" s="4" t="s">
        <v>162</v>
      </c>
      <c r="H1" s="3" t="s">
        <v>10</v>
      </c>
      <c r="K1" s="12" t="s">
        <v>0</v>
      </c>
      <c r="L1" s="13" t="s">
        <v>163</v>
      </c>
      <c r="M1" s="12" t="s">
        <v>164</v>
      </c>
      <c r="N1" s="12" t="s">
        <v>10</v>
      </c>
    </row>
    <row r="2" ht="16.5" spans="1:14">
      <c r="A2" s="5" t="s">
        <v>165</v>
      </c>
      <c r="B2" s="1" t="s">
        <v>166</v>
      </c>
      <c r="C2" s="1">
        <v>4</v>
      </c>
      <c r="D2" s="1">
        <v>1</v>
      </c>
      <c r="E2" s="2">
        <f>C2*D2</f>
        <v>4</v>
      </c>
      <c r="F2" s="3">
        <v>1</v>
      </c>
      <c r="G2" s="4">
        <f>E2/12</f>
        <v>0.333333333333333</v>
      </c>
      <c r="H2" s="3"/>
      <c r="K2" s="14">
        <v>1</v>
      </c>
      <c r="L2" s="15" t="s">
        <v>167</v>
      </c>
      <c r="M2" s="16">
        <v>17</v>
      </c>
      <c r="N2" s="17"/>
    </row>
    <row r="3" ht="16.5" spans="1:14">
      <c r="A3" s="6"/>
      <c r="B3" s="1" t="s">
        <v>168</v>
      </c>
      <c r="C3" s="1">
        <v>3</v>
      </c>
      <c r="D3" s="1">
        <v>4</v>
      </c>
      <c r="E3" s="2">
        <f>C3*D3</f>
        <v>12</v>
      </c>
      <c r="F3" s="3">
        <v>3</v>
      </c>
      <c r="G3" s="4">
        <f>E3/12</f>
        <v>1</v>
      </c>
      <c r="H3" s="3"/>
      <c r="K3" s="18">
        <v>1.1</v>
      </c>
      <c r="L3" s="19" t="s">
        <v>169</v>
      </c>
      <c r="M3" s="20">
        <v>7</v>
      </c>
      <c r="N3" s="21"/>
    </row>
    <row r="4" ht="16.5" spans="1:14">
      <c r="A4" s="6"/>
      <c r="B4" s="1" t="s">
        <v>170</v>
      </c>
      <c r="C4" s="1">
        <v>2</v>
      </c>
      <c r="D4" s="1">
        <v>91</v>
      </c>
      <c r="E4" s="2">
        <f>C4*D4</f>
        <v>182</v>
      </c>
      <c r="F4" s="3">
        <v>45.5</v>
      </c>
      <c r="G4" s="4">
        <f>E4/12</f>
        <v>15.1666666666667</v>
      </c>
      <c r="H4" s="3"/>
      <c r="K4" s="18">
        <v>1.2</v>
      </c>
      <c r="L4" s="19" t="s">
        <v>171</v>
      </c>
      <c r="M4" s="20">
        <v>10</v>
      </c>
      <c r="N4" s="21"/>
    </row>
    <row r="5" ht="27" spans="1:14">
      <c r="A5" s="7"/>
      <c r="B5" s="8" t="s">
        <v>172</v>
      </c>
      <c r="C5" s="8"/>
      <c r="D5" s="8">
        <f t="shared" ref="D5:G5" si="0">SUM(D2:D4)</f>
        <v>96</v>
      </c>
      <c r="E5" s="9">
        <f t="shared" si="0"/>
        <v>198</v>
      </c>
      <c r="F5" s="10">
        <f>SUM(F2:F4)</f>
        <v>49.5</v>
      </c>
      <c r="G5" s="11">
        <f t="shared" si="0"/>
        <v>16.5</v>
      </c>
      <c r="H5" s="3" t="s">
        <v>173</v>
      </c>
      <c r="K5" s="18">
        <v>1.3</v>
      </c>
      <c r="L5" s="19" t="s">
        <v>174</v>
      </c>
      <c r="M5" s="20">
        <v>7</v>
      </c>
      <c r="N5" s="21" t="s">
        <v>175</v>
      </c>
    </row>
    <row r="6" ht="16.5" spans="1:14">
      <c r="A6" s="5" t="s">
        <v>176</v>
      </c>
      <c r="B6" s="1" t="s">
        <v>166</v>
      </c>
      <c r="C6" s="1">
        <v>4</v>
      </c>
      <c r="D6" s="1"/>
      <c r="E6" s="2"/>
      <c r="F6" s="3"/>
      <c r="G6" s="4"/>
      <c r="H6" s="3"/>
      <c r="K6" s="14">
        <v>2</v>
      </c>
      <c r="L6" s="15" t="s">
        <v>177</v>
      </c>
      <c r="M6" s="16">
        <v>335</v>
      </c>
      <c r="N6" s="17"/>
    </row>
    <row r="7" ht="16.5" spans="1:14">
      <c r="A7" s="6"/>
      <c r="B7" s="1" t="s">
        <v>168</v>
      </c>
      <c r="C7" s="1">
        <v>3</v>
      </c>
      <c r="D7" s="1"/>
      <c r="E7" s="2"/>
      <c r="F7" s="3"/>
      <c r="G7" s="4"/>
      <c r="H7" s="3"/>
      <c r="K7" s="22">
        <v>2.1</v>
      </c>
      <c r="L7" s="23" t="s">
        <v>165</v>
      </c>
      <c r="M7" s="24">
        <v>36</v>
      </c>
      <c r="N7" s="25" t="s">
        <v>178</v>
      </c>
    </row>
    <row r="8" ht="16.5" spans="1:14">
      <c r="A8" s="6"/>
      <c r="B8" s="1" t="s">
        <v>170</v>
      </c>
      <c r="C8" s="1">
        <v>2</v>
      </c>
      <c r="D8" s="1"/>
      <c r="E8" s="2"/>
      <c r="F8" s="3"/>
      <c r="G8" s="4"/>
      <c r="H8" s="3"/>
      <c r="K8" s="18" t="s">
        <v>179</v>
      </c>
      <c r="L8" s="19" t="s">
        <v>180</v>
      </c>
      <c r="M8" s="20">
        <v>4</v>
      </c>
      <c r="N8" s="21"/>
    </row>
    <row r="9" ht="16.5" spans="1:14">
      <c r="A9" s="7"/>
      <c r="B9" s="8" t="s">
        <v>172</v>
      </c>
      <c r="C9" s="8"/>
      <c r="D9" s="8"/>
      <c r="E9" s="9"/>
      <c r="F9" s="10"/>
      <c r="G9" s="11"/>
      <c r="H9" s="3"/>
      <c r="K9" s="18" t="s">
        <v>181</v>
      </c>
      <c r="L9" s="19" t="s">
        <v>182</v>
      </c>
      <c r="M9" s="20">
        <v>4</v>
      </c>
      <c r="N9" s="21" t="s">
        <v>183</v>
      </c>
    </row>
    <row r="10" ht="16.5" spans="1:14">
      <c r="A10" s="5" t="s">
        <v>184</v>
      </c>
      <c r="B10" s="1" t="s">
        <v>166</v>
      </c>
      <c r="C10" s="1">
        <v>4</v>
      </c>
      <c r="D10" s="1"/>
      <c r="E10" s="2"/>
      <c r="F10" s="3"/>
      <c r="G10" s="4"/>
      <c r="H10" s="3"/>
      <c r="K10" s="18" t="s">
        <v>185</v>
      </c>
      <c r="L10" s="19" t="s">
        <v>186</v>
      </c>
      <c r="M10" s="20">
        <v>28</v>
      </c>
      <c r="N10" s="21" t="s">
        <v>187</v>
      </c>
    </row>
    <row r="11" ht="16.5" spans="1:14">
      <c r="A11" s="6"/>
      <c r="B11" s="1" t="s">
        <v>168</v>
      </c>
      <c r="C11" s="1">
        <v>3</v>
      </c>
      <c r="D11" s="1"/>
      <c r="E11" s="2"/>
      <c r="F11" s="3"/>
      <c r="G11" s="4"/>
      <c r="H11" s="3"/>
      <c r="K11" s="22">
        <v>2.2</v>
      </c>
      <c r="L11" s="22" t="s">
        <v>176</v>
      </c>
      <c r="M11" s="24">
        <v>67</v>
      </c>
      <c r="N11" s="22"/>
    </row>
    <row r="12" ht="16.5" spans="1:14">
      <c r="A12" s="6"/>
      <c r="B12" s="1" t="s">
        <v>170</v>
      </c>
      <c r="C12" s="1">
        <v>2</v>
      </c>
      <c r="D12" s="1"/>
      <c r="E12" s="2"/>
      <c r="F12" s="3"/>
      <c r="G12" s="4"/>
      <c r="H12" s="3"/>
      <c r="K12" s="18" t="s">
        <v>188</v>
      </c>
      <c r="L12" s="19" t="s">
        <v>180</v>
      </c>
      <c r="M12" s="20">
        <v>7</v>
      </c>
      <c r="N12" s="21"/>
    </row>
    <row r="13" ht="16.5" spans="1:14">
      <c r="A13" s="7"/>
      <c r="B13" s="8" t="s">
        <v>172</v>
      </c>
      <c r="C13" s="8"/>
      <c r="D13" s="8"/>
      <c r="E13" s="9"/>
      <c r="F13" s="10"/>
      <c r="G13" s="11"/>
      <c r="H13" s="10"/>
      <c r="K13" s="18" t="s">
        <v>189</v>
      </c>
      <c r="L13" s="19" t="s">
        <v>190</v>
      </c>
      <c r="M13" s="20">
        <v>2</v>
      </c>
      <c r="N13" s="21"/>
    </row>
    <row r="14" ht="14.25" spans="11:14">
      <c r="K14" s="18" t="s">
        <v>191</v>
      </c>
      <c r="L14" s="19" t="s">
        <v>182</v>
      </c>
      <c r="M14" s="20">
        <v>5</v>
      </c>
      <c r="N14" s="21" t="s">
        <v>192</v>
      </c>
    </row>
    <row r="15" ht="14.25" spans="2:14">
      <c r="B15" t="s">
        <v>193</v>
      </c>
      <c r="K15" s="26" t="s">
        <v>194</v>
      </c>
      <c r="L15" s="18" t="s">
        <v>186</v>
      </c>
      <c r="M15" s="27">
        <v>53</v>
      </c>
      <c r="N15" s="21" t="s">
        <v>195</v>
      </c>
    </row>
    <row r="16" ht="14.25" spans="2:14">
      <c r="B16" t="s">
        <v>196</v>
      </c>
      <c r="K16" s="28">
        <v>2.3</v>
      </c>
      <c r="L16" s="22" t="s">
        <v>184</v>
      </c>
      <c r="M16" s="29">
        <v>24</v>
      </c>
      <c r="N16" s="28"/>
    </row>
    <row r="17" ht="14.25" spans="2:14">
      <c r="B17" t="s">
        <v>197</v>
      </c>
      <c r="K17" s="18" t="s">
        <v>198</v>
      </c>
      <c r="L17" s="19" t="s">
        <v>180</v>
      </c>
      <c r="M17" s="20">
        <v>3</v>
      </c>
      <c r="N17" s="21"/>
    </row>
    <row r="18" ht="14.25" spans="2:14">
      <c r="B18" t="s">
        <v>199</v>
      </c>
      <c r="K18" s="26" t="s">
        <v>200</v>
      </c>
      <c r="L18" s="19" t="s">
        <v>190</v>
      </c>
      <c r="M18" s="27">
        <v>2</v>
      </c>
      <c r="N18" s="26"/>
    </row>
    <row r="19" ht="14.25" spans="2:14">
      <c r="B19" t="s">
        <v>201</v>
      </c>
      <c r="K19" s="26" t="s">
        <v>200</v>
      </c>
      <c r="L19" s="19" t="s">
        <v>182</v>
      </c>
      <c r="M19" s="27">
        <v>2</v>
      </c>
      <c r="N19" s="21" t="s">
        <v>202</v>
      </c>
    </row>
    <row r="20" ht="14.25" spans="11:14">
      <c r="K20" s="26" t="s">
        <v>203</v>
      </c>
      <c r="L20" s="18" t="s">
        <v>186</v>
      </c>
      <c r="M20" s="27">
        <v>17</v>
      </c>
      <c r="N20" s="21" t="s">
        <v>204</v>
      </c>
    </row>
    <row r="21" ht="14.25" spans="11:14">
      <c r="K21" s="28">
        <v>2.4</v>
      </c>
      <c r="L21" s="22" t="s">
        <v>205</v>
      </c>
      <c r="M21" s="29">
        <v>45</v>
      </c>
      <c r="N21" s="28"/>
    </row>
    <row r="22" ht="14.25" spans="11:14">
      <c r="K22" s="18" t="s">
        <v>206</v>
      </c>
      <c r="L22" s="19" t="s">
        <v>180</v>
      </c>
      <c r="M22" s="20">
        <v>5</v>
      </c>
      <c r="N22" s="21"/>
    </row>
    <row r="23" ht="14.25" spans="11:14">
      <c r="K23" s="26" t="s">
        <v>207</v>
      </c>
      <c r="L23" s="19" t="s">
        <v>190</v>
      </c>
      <c r="M23" s="27">
        <v>2</v>
      </c>
      <c r="N23" s="26"/>
    </row>
    <row r="24" ht="14.25" spans="11:14">
      <c r="K24" s="26" t="s">
        <v>207</v>
      </c>
      <c r="L24" s="19" t="s">
        <v>182</v>
      </c>
      <c r="M24" s="27">
        <v>5</v>
      </c>
      <c r="N24" s="21" t="s">
        <v>208</v>
      </c>
    </row>
    <row r="25" ht="14.25" spans="11:14">
      <c r="K25" s="26" t="s">
        <v>209</v>
      </c>
      <c r="L25" s="18" t="s">
        <v>186</v>
      </c>
      <c r="M25" s="27">
        <v>33</v>
      </c>
      <c r="N25" s="21" t="s">
        <v>210</v>
      </c>
    </row>
    <row r="26" ht="14.25" spans="11:14">
      <c r="K26" s="28">
        <v>2.5</v>
      </c>
      <c r="L26" s="22" t="s">
        <v>211</v>
      </c>
      <c r="M26" s="29">
        <v>41</v>
      </c>
      <c r="N26" s="28"/>
    </row>
    <row r="27" ht="14.25" spans="11:14">
      <c r="K27" s="18" t="s">
        <v>212</v>
      </c>
      <c r="L27" s="19" t="s">
        <v>180</v>
      </c>
      <c r="M27" s="20">
        <v>4</v>
      </c>
      <c r="N27" s="21"/>
    </row>
    <row r="28" ht="14.25" spans="11:14">
      <c r="K28" s="26" t="s">
        <v>213</v>
      </c>
      <c r="L28" s="19" t="s">
        <v>190</v>
      </c>
      <c r="M28" s="27">
        <v>2</v>
      </c>
      <c r="N28" s="26"/>
    </row>
    <row r="29" ht="14.25" spans="11:14">
      <c r="K29" s="26" t="s">
        <v>213</v>
      </c>
      <c r="L29" s="19" t="s">
        <v>182</v>
      </c>
      <c r="M29" s="27">
        <v>6</v>
      </c>
      <c r="N29" s="21" t="s">
        <v>214</v>
      </c>
    </row>
    <row r="30" ht="14.25" spans="11:14">
      <c r="K30" s="26" t="s">
        <v>215</v>
      </c>
      <c r="L30" s="18" t="s">
        <v>186</v>
      </c>
      <c r="M30" s="27">
        <v>29</v>
      </c>
      <c r="N30" s="21" t="s">
        <v>216</v>
      </c>
    </row>
    <row r="31" ht="14.25" spans="11:14">
      <c r="K31" s="28">
        <v>2.6</v>
      </c>
      <c r="L31" s="22" t="s">
        <v>217</v>
      </c>
      <c r="M31" s="29">
        <v>39</v>
      </c>
      <c r="N31" s="28"/>
    </row>
    <row r="32" ht="14.25" spans="11:14">
      <c r="K32" s="18" t="s">
        <v>218</v>
      </c>
      <c r="L32" s="19" t="s">
        <v>180</v>
      </c>
      <c r="M32" s="20">
        <v>4</v>
      </c>
      <c r="N32" s="21"/>
    </row>
    <row r="33" ht="14.25" spans="11:14">
      <c r="K33" s="26" t="s">
        <v>219</v>
      </c>
      <c r="L33" s="19" t="s">
        <v>190</v>
      </c>
      <c r="M33" s="27">
        <v>2</v>
      </c>
      <c r="N33" s="26"/>
    </row>
    <row r="34" ht="14.25" spans="11:14">
      <c r="K34" s="26" t="s">
        <v>219</v>
      </c>
      <c r="L34" s="19" t="s">
        <v>182</v>
      </c>
      <c r="M34" s="27">
        <v>4</v>
      </c>
      <c r="N34" s="21" t="s">
        <v>183</v>
      </c>
    </row>
    <row r="35" ht="14.25" spans="11:14">
      <c r="K35" s="26" t="s">
        <v>220</v>
      </c>
      <c r="L35" s="18" t="s">
        <v>186</v>
      </c>
      <c r="M35" s="27">
        <v>29</v>
      </c>
      <c r="N35" s="21" t="s">
        <v>221</v>
      </c>
    </row>
    <row r="36" ht="14.25" spans="11:14">
      <c r="K36" s="28">
        <v>2.7</v>
      </c>
      <c r="L36" s="22" t="s">
        <v>222</v>
      </c>
      <c r="M36" s="29">
        <v>35</v>
      </c>
      <c r="N36" s="28"/>
    </row>
    <row r="37" ht="14.25" spans="11:14">
      <c r="K37" s="18" t="s">
        <v>223</v>
      </c>
      <c r="L37" s="19" t="s">
        <v>180</v>
      </c>
      <c r="M37" s="20">
        <v>3</v>
      </c>
      <c r="N37" s="21"/>
    </row>
    <row r="38" ht="14.25" spans="11:14">
      <c r="K38" s="26" t="s">
        <v>224</v>
      </c>
      <c r="L38" s="19" t="s">
        <v>190</v>
      </c>
      <c r="M38" s="27">
        <v>2</v>
      </c>
      <c r="N38" s="26"/>
    </row>
    <row r="39" ht="14.25" spans="11:14">
      <c r="K39" s="26" t="s">
        <v>224</v>
      </c>
      <c r="L39" s="19" t="s">
        <v>182</v>
      </c>
      <c r="M39" s="27">
        <v>3</v>
      </c>
      <c r="N39" s="21" t="s">
        <v>225</v>
      </c>
    </row>
    <row r="40" ht="14.25" spans="11:14">
      <c r="K40" s="26" t="s">
        <v>226</v>
      </c>
      <c r="L40" s="18" t="s">
        <v>186</v>
      </c>
      <c r="M40" s="27">
        <v>27</v>
      </c>
      <c r="N40" s="21" t="s">
        <v>187</v>
      </c>
    </row>
    <row r="41" ht="14.25" spans="11:14">
      <c r="K41" s="28">
        <v>2.8</v>
      </c>
      <c r="L41" s="22" t="s">
        <v>227</v>
      </c>
      <c r="M41" s="29">
        <v>21</v>
      </c>
      <c r="N41" s="28"/>
    </row>
    <row r="42" ht="14.25" spans="11:14">
      <c r="K42" s="18" t="s">
        <v>228</v>
      </c>
      <c r="L42" s="19" t="s">
        <v>180</v>
      </c>
      <c r="M42" s="20">
        <v>3</v>
      </c>
      <c r="N42" s="21"/>
    </row>
    <row r="43" ht="14.25" spans="11:14">
      <c r="K43" s="26" t="s">
        <v>229</v>
      </c>
      <c r="L43" s="19" t="s">
        <v>190</v>
      </c>
      <c r="M43" s="27">
        <v>2</v>
      </c>
      <c r="N43" s="26"/>
    </row>
    <row r="44" ht="14.25" spans="11:14">
      <c r="K44" s="26" t="s">
        <v>229</v>
      </c>
      <c r="L44" s="19" t="s">
        <v>182</v>
      </c>
      <c r="M44" s="27">
        <v>2</v>
      </c>
      <c r="N44" s="21" t="s">
        <v>230</v>
      </c>
    </row>
    <row r="45" ht="14.25" spans="11:14">
      <c r="K45" s="26" t="s">
        <v>231</v>
      </c>
      <c r="L45" s="18" t="s">
        <v>186</v>
      </c>
      <c r="M45" s="27">
        <v>14</v>
      </c>
      <c r="N45" s="21" t="s">
        <v>232</v>
      </c>
    </row>
    <row r="46" ht="14.25" spans="11:14">
      <c r="K46" s="28">
        <v>2.9</v>
      </c>
      <c r="L46" s="22" t="s">
        <v>233</v>
      </c>
      <c r="M46" s="29">
        <v>27</v>
      </c>
      <c r="N46" s="28"/>
    </row>
    <row r="47" ht="14.25" spans="11:14">
      <c r="K47" s="18" t="s">
        <v>234</v>
      </c>
      <c r="L47" s="19" t="s">
        <v>180</v>
      </c>
      <c r="M47" s="20">
        <v>3</v>
      </c>
      <c r="N47" s="21"/>
    </row>
    <row r="48" ht="14.25" spans="11:14">
      <c r="K48" s="26" t="s">
        <v>235</v>
      </c>
      <c r="L48" s="19" t="s">
        <v>190</v>
      </c>
      <c r="M48" s="27">
        <v>2</v>
      </c>
      <c r="N48" s="26"/>
    </row>
    <row r="49" ht="14.25" spans="11:14">
      <c r="K49" s="26" t="s">
        <v>235</v>
      </c>
      <c r="L49" s="19" t="s">
        <v>182</v>
      </c>
      <c r="M49" s="27">
        <v>3</v>
      </c>
      <c r="N49" s="21" t="s">
        <v>225</v>
      </c>
    </row>
    <row r="50" ht="14.25" spans="11:14">
      <c r="K50" s="26" t="s">
        <v>236</v>
      </c>
      <c r="L50" s="18" t="s">
        <v>186</v>
      </c>
      <c r="M50" s="27">
        <v>19</v>
      </c>
      <c r="N50" s="21" t="s">
        <v>237</v>
      </c>
    </row>
    <row r="51" ht="16.5" spans="11:14">
      <c r="K51" s="30" t="s">
        <v>172</v>
      </c>
      <c r="L51" s="30"/>
      <c r="M51" s="31">
        <v>352</v>
      </c>
      <c r="N51" s="32"/>
    </row>
  </sheetData>
  <mergeCells count="4">
    <mergeCell ref="K51:L51"/>
    <mergeCell ref="A2:A5"/>
    <mergeCell ref="A6:A9"/>
    <mergeCell ref="A10:A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3" sqref="H23"/>
    </sheetView>
  </sheetViews>
  <sheetFormatPr defaultColWidth="9.0265486725663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项目预期进度表</vt:lpstr>
      <vt:lpstr>硬件实施</vt:lpstr>
      <vt:lpstr>培训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IOT</cp:lastModifiedBy>
  <dcterms:created xsi:type="dcterms:W3CDTF">2025-09-12T07:32:00Z</dcterms:created>
  <dcterms:modified xsi:type="dcterms:W3CDTF">2025-09-15T06:13:42Z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25472259FD144F07BFD57C5AD6E5644C_13</vt:lpwstr>
  </property>
  <property fmtid="{D5CDD505-2E9C-101B-9397-08002B2CF9AE}" pid="3" name="KSOProductBuildVer">
    <vt:lpwstr>2052-12.1.0.22529</vt:lpwstr>
  </property>
</Properties>
</file>